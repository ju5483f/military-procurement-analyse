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zhu\Desktop\電腦小組\1150615研析試作區\"/>
    </mc:Choice>
  </mc:AlternateContent>
  <xr:revisionPtr revIDLastSave="0" documentId="8_{94444288-3AF3-48B0-84F8-26743D1A2CB8}" xr6:coauthVersionLast="47" xr6:coauthVersionMax="47" xr10:uidLastSave="{00000000-0000-0000-0000-000000000000}"/>
  <bookViews>
    <workbookView xWindow="405" yWindow="1230" windowWidth="13095" windowHeight="13155" xr2:uid="{BF328398-D180-4341-8160-425C8A29B33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<sst xmlns="http://schemas.openxmlformats.org/spreadsheetml/2006/main" count="69" uniqueCount="48">
  <si>
    <t>種類</t>
    <phoneticPr fontId="1" type="noConversion"/>
  </si>
  <si>
    <t>編號</t>
    <phoneticPr fontId="1" type="noConversion"/>
  </si>
  <si>
    <t>控制點名稱</t>
    <phoneticPr fontId="1" type="noConversion"/>
  </si>
  <si>
    <t>陸軍</t>
    <phoneticPr fontId="1" type="noConversion"/>
  </si>
  <si>
    <t>海軍</t>
    <phoneticPr fontId="1" type="noConversion"/>
  </si>
  <si>
    <t>空軍</t>
    <phoneticPr fontId="1" type="noConversion"/>
  </si>
  <si>
    <t>其他</t>
    <phoneticPr fontId="1" type="noConversion"/>
  </si>
  <si>
    <t>合計</t>
    <phoneticPr fontId="1" type="noConversion"/>
  </si>
  <si>
    <t>第二階段：核對會議紀錄</t>
    <phoneticPr fontId="1" type="noConversion"/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</si>
  <si>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</si>
  <si>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</si>
  <si>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</si>
  <si>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</si>
  <si>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</si>
  <si>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</si>
  <si>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</si>
  <si>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</si>
  <si>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</si>
  <si>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</si>
  <si>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</si>
  <si>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</si>
  <si>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</si>
  <si>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</si>
  <si>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</si>
  <si>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</si>
  <si>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</si>
  <si>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</si>
  <si>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</si>
  <si>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</si>
  <si>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交運值為0</t>
  </si>
  <si>
    <t>累計交運率未達50％（不含0）</t>
  </si>
  <si>
    <t>「累計交運值/發價值」與「累計結匯率」差異達40％以上</t>
  </si>
  <si>
    <t>「累計交運值/發價值」與「累計結匯率」差異未達40％，且軍購備查帳餘額達3000萬美元以上</t>
  </si>
  <si>
    <t>「累計交運值」與「累計結匯值減去FRB餘額」之比率低於10％，且「累計交運值」與「累計結匯值減去FRB餘額」之差異金額大於1億美元</t>
  </si>
  <si>
    <t>結匯率超過100％</t>
  </si>
  <si>
    <t>FRB餘額占累計結匯值比率達40％以上</t>
  </si>
  <si>
    <t>FRB餘額占累計結匯值比率未達40％，且FRB餘額達3000萬美元以上</t>
  </si>
  <si>
    <t>待平衡支付值大於0（欠款案件）</t>
  </si>
  <si>
    <t>累計結匯率達90％，且累計交運率未達50％</t>
  </si>
  <si>
    <t>交運值為0，結匯值300萬美元以上</t>
  </si>
  <si>
    <t>累計交運率未達50％（不含0），且軍購備查帳餘額達3000萬美元以上</t>
  </si>
  <si>
    <t>「累計交運值/發價值」與「累計結匯率」差異達50％以上，且軍購備查帳餘額300萬美元以上</t>
  </si>
  <si>
    <t>「累計交運值/發價值」與「累計結匯率」差異未達50％，且軍購備查帳餘額達3000萬美元以上</t>
  </si>
  <si>
    <t>「累計交運值」與「累計結匯值減去FRB餘額」之比率低於10％，且「累計交運值」與「累計結匯值減去FRB餘額」之差異金額大於1000萬美元</t>
  </si>
  <si>
    <t>FRB餘額占累計結匯值比率達50％以上，且FRB餘額達300萬美元以上</t>
  </si>
  <si>
    <t>FRB餘額占累計結匯值比率未達50％，且FRB餘額達1000萬美元以上</t>
  </si>
  <si>
    <t>軍投</t>
    <phoneticPr fontId="1" type="noConversion"/>
  </si>
  <si>
    <t>作維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</si>
</sst>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378C-CBA0-4D09-AA6D-E7EDE5B4A5D7}">
  <dimension ref="A1:I21"/>
  <sheetViews>
    <sheetView tabSelected="1" workbookViewId="0">
      <selection activeCell="I10" sqref="I10"/>
    </sheetView>
  </sheetViews>
  <sheetFormatPr defaultRowHeight="16.5" x14ac:dyDescent="0.25"/>
  <cols>
    <col min="3" max="3" width="11.625" bestFit="1" customWidth="1"/>
    <col min="9" max="9" width="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46</v>
      </c>
      <c r="B2" s="1" t="s">
        <v>9</v>
      </c>
      <c r="C2" t="s">
        <v>29</v>
      </c>
      <c r="D2">
        <v>1</v>
      </c>
      <c r="E2">
        <v>0</v>
      </c>
      <c r="F2">
        <v>3</v>
      </c>
      <c r="G2">
        <v>1</v>
      </c>
      <c r="H2">
        <f>SUM(D2:G2)</f>
        <v>5</v>
      </c>
      <c r="I2">
        <v>0</v>
      </c>
    </row>
    <row r="3" spans="1:9" x14ac:dyDescent="0.25">
      <c r="A3" t="s">
        <v>46</v>
      </c>
      <c r="B3" s="1" t="s">
        <v>10</v>
      </c>
      <c r="C3" t="s">
        <v>30</v>
      </c>
      <c r="D3">
        <v>7</v>
      </c>
      <c r="E3">
        <v>5</v>
      </c>
      <c r="F3">
        <v>10</v>
      </c>
      <c r="G3">
        <v>4</v>
      </c>
      <c r="H3">
        <f t="shared" ref="H3:H21" si="0">SUM(D3:G3)</f>
        <v>26</v>
      </c>
      <c r="I3">
        <v>5</v>
      </c>
    </row>
    <row r="4" spans="1:9" x14ac:dyDescent="0.25">
      <c r="A4" t="s">
        <v>46</v>
      </c>
      <c r="B4" s="1" t="s">
        <v>11</v>
      </c>
      <c r="C4" t="s">
        <v>31</v>
      </c>
      <c r="D4">
        <v>4</v>
      </c>
      <c r="E4">
        <v>3</v>
      </c>
      <c r="F4">
        <v>2</v>
      </c>
      <c r="G4">
        <v>5</v>
      </c>
      <c r="H4">
        <f t="shared" si="0"/>
        <v>14</v>
      </c>
      <c r="I4">
        <v>4</v>
      </c>
    </row>
    <row r="5" spans="1:9" x14ac:dyDescent="0.25">
      <c r="A5" t="s">
        <v>46</v>
      </c>
      <c r="B5" s="1" t="s">
        <v>12</v>
      </c>
      <c r="C5" t="s">
        <v>32</v>
      </c>
      <c r="D5">
        <v>4</v>
      </c>
      <c r="E5">
        <v>2</v>
      </c>
      <c r="F5">
        <v>10</v>
      </c>
      <c r="G5">
        <v>0</v>
      </c>
      <c r="H5">
        <f t="shared" si="0"/>
        <v>16</v>
      </c>
      <c r="I5">
        <v>4</v>
      </c>
    </row>
    <row r="6" spans="1:9" x14ac:dyDescent="0.25">
      <c r="A6" t="s">
        <v>46</v>
      </c>
      <c r="B6" s="1" t="s">
        <v>13</v>
      </c>
      <c r="C6" t="s">
        <v>33</v>
      </c>
      <c r="D6">
        <v>0</v>
      </c>
      <c r="E6">
        <v>0</v>
      </c>
      <c r="F6">
        <v>1</v>
      </c>
      <c r="G6">
        <v>0</v>
      </c>
      <c r="H6">
        <f t="shared" si="0"/>
        <v>1</v>
      </c>
      <c r="I6">
        <v>0</v>
      </c>
    </row>
    <row r="7" spans="1:9" x14ac:dyDescent="0.25">
      <c r="A7" t="s">
        <v>46</v>
      </c>
      <c r="B7" s="1" t="s">
        <v>14</v>
      </c>
      <c r="C7" t="s">
        <v>34</v>
      </c>
      <c r="D7">
        <v>0</v>
      </c>
      <c r="E7">
        <v>0</v>
      </c>
      <c r="F7">
        <v>0</v>
      </c>
      <c r="G7">
        <v>0</v>
      </c>
      <c r="H7">
        <f t="shared" si="0"/>
        <v>0</v>
      </c>
      <c r="I7">
        <v>0</v>
      </c>
    </row>
    <row r="8" spans="1:9" x14ac:dyDescent="0.25">
      <c r="A8" t="s">
        <v>46</v>
      </c>
      <c r="B8" s="1" t="s">
        <v>15</v>
      </c>
      <c r="C8" t="s">
        <v>35</v>
      </c>
      <c r="D8">
        <v>5</v>
      </c>
      <c r="E8">
        <v>4</v>
      </c>
      <c r="F8">
        <v>9</v>
      </c>
      <c r="G8">
        <v>5</v>
      </c>
      <c r="H8">
        <f t="shared" si="0"/>
        <v>23</v>
      </c>
      <c r="I8">
        <v>3</v>
      </c>
    </row>
    <row r="9" spans="1:9" x14ac:dyDescent="0.25">
      <c r="A9" t="s">
        <v>46</v>
      </c>
      <c r="B9" s="1" t="s">
        <v>16</v>
      </c>
      <c r="C9" t="s">
        <v>36</v>
      </c>
      <c r="D9">
        <v>3</v>
      </c>
      <c r="E9">
        <v>1</v>
      </c>
      <c r="F9">
        <v>5</v>
      </c>
      <c r="G9">
        <v>0</v>
      </c>
      <c r="H9">
        <f t="shared" si="0"/>
        <v>9</v>
      </c>
      <c r="I9">
        <v>4</v>
      </c>
    </row>
    <row r="10" spans="1:9" x14ac:dyDescent="0.25">
      <c r="A10" t="s">
        <v>46</v>
      </c>
      <c r="B10" s="1" t="s">
        <v>17</v>
      </c>
      <c r="C10" t="s">
        <v>37</v>
      </c>
      <c r="D10">
        <v>0</v>
      </c>
      <c r="E10">
        <v>0</v>
      </c>
      <c r="F10">
        <v>0</v>
      </c>
      <c r="G10">
        <v>1</v>
      </c>
      <c r="H10">
        <f t="shared" si="0"/>
        <v>1</v>
      </c>
      <c r="I10">
        <v>0</v>
      </c>
    </row>
    <row r="11" spans="1:9" x14ac:dyDescent="0.25">
      <c r="A11" t="s">
        <v>46</v>
      </c>
      <c r="B11" s="1" t="s">
        <v>18</v>
      </c>
      <c r="C11" t="s">
        <v>38</v>
      </c>
      <c r="D11">
        <v>1</v>
      </c>
      <c r="E11">
        <v>1</v>
      </c>
      <c r="F11">
        <v>0</v>
      </c>
      <c r="G11">
        <v>1</v>
      </c>
      <c r="H11">
        <f t="shared" si="0"/>
        <v>3</v>
      </c>
      <c r="I11">
        <v>2</v>
      </c>
    </row>
    <row r="12" spans="1:9" x14ac:dyDescent="0.25">
      <c r="A12" t="s">
        <v>47</v>
      </c>
      <c r="B12" s="1" t="s">
        <v>19</v>
      </c>
      <c r="C12" t="s">
        <v>39</v>
      </c>
      <c r="D12">
        <v>8</v>
      </c>
      <c r="E12">
        <v>0</v>
      </c>
      <c r="F12">
        <v>0</v>
      </c>
      <c r="G12">
        <v>0</v>
      </c>
      <c r="H12">
        <f t="shared" si="0"/>
        <v>8</v>
      </c>
      <c r="I12">
        <v>5</v>
      </c>
    </row>
    <row r="13" spans="1:9" x14ac:dyDescent="0.25">
      <c r="A13" t="s">
        <v>47</v>
      </c>
      <c r="B13" s="1" t="s">
        <v>20</v>
      </c>
      <c r="C13" t="s">
        <v>40</v>
      </c>
      <c r="D13">
        <v>1</v>
      </c>
      <c r="E13">
        <v>1</v>
      </c>
      <c r="F13">
        <v>2</v>
      </c>
      <c r="G13">
        <v>0</v>
      </c>
      <c r="H13">
        <f t="shared" si="0"/>
        <v>4</v>
      </c>
      <c r="I13">
        <v>1</v>
      </c>
    </row>
    <row r="14" spans="1:9" x14ac:dyDescent="0.25">
      <c r="A14" t="s">
        <v>47</v>
      </c>
      <c r="B14" s="1" t="s">
        <v>21</v>
      </c>
      <c r="C14" t="s">
        <v>41</v>
      </c>
      <c r="D14">
        <v>7</v>
      </c>
      <c r="E14">
        <v>2</v>
      </c>
      <c r="F14">
        <v>2</v>
      </c>
      <c r="G14">
        <v>2</v>
      </c>
      <c r="H14">
        <f t="shared" si="0"/>
        <v>13</v>
      </c>
      <c r="I14">
        <v>5</v>
      </c>
    </row>
    <row r="15" spans="1:9" x14ac:dyDescent="0.25">
      <c r="A15" t="s">
        <v>47</v>
      </c>
      <c r="B15" s="1" t="s">
        <v>22</v>
      </c>
      <c r="C15" t="s">
        <v>42</v>
      </c>
      <c r="D15">
        <v>0</v>
      </c>
      <c r="E15">
        <v>0</v>
      </c>
      <c r="F15">
        <v>5</v>
      </c>
      <c r="G15">
        <v>1</v>
      </c>
      <c r="H15">
        <f t="shared" si="0"/>
        <v>6</v>
      </c>
      <c r="I15">
        <v>0</v>
      </c>
    </row>
    <row r="16" spans="1:9" x14ac:dyDescent="0.25">
      <c r="A16" t="s">
        <v>47</v>
      </c>
      <c r="B16" s="1" t="s">
        <v>23</v>
      </c>
      <c r="C16" t="s">
        <v>43</v>
      </c>
      <c r="D16">
        <v>1</v>
      </c>
      <c r="E16">
        <v>1</v>
      </c>
      <c r="F16">
        <v>5</v>
      </c>
      <c r="G16">
        <v>0</v>
      </c>
      <c r="H16">
        <f t="shared" si="0"/>
        <v>7</v>
      </c>
      <c r="I16">
        <v>1</v>
      </c>
    </row>
    <row r="17" spans="1:9" x14ac:dyDescent="0.25">
      <c r="A17" t="s">
        <v>47</v>
      </c>
      <c r="B17" s="1" t="s">
        <v>24</v>
      </c>
      <c r="C17" t="s">
        <v>34</v>
      </c>
      <c r="D17">
        <v>10</v>
      </c>
      <c r="E17">
        <v>6</v>
      </c>
      <c r="F17">
        <v>7</v>
      </c>
      <c r="G17">
        <v>4</v>
      </c>
      <c r="H17">
        <f t="shared" si="0"/>
        <v>27</v>
      </c>
      <c r="I17">
        <v>1</v>
      </c>
    </row>
    <row r="18" spans="1:9" x14ac:dyDescent="0.25">
      <c r="A18" t="s">
        <v>47</v>
      </c>
      <c r="B18" s="1" t="s">
        <v>25</v>
      </c>
      <c r="C18" t="s">
        <v>44</v>
      </c>
      <c r="D18">
        <v>13</v>
      </c>
      <c r="E18">
        <v>1</v>
      </c>
      <c r="F18">
        <v>21</v>
      </c>
      <c r="G18">
        <v>1</v>
      </c>
      <c r="H18">
        <f t="shared" si="0"/>
        <v>36</v>
      </c>
      <c r="I18">
        <v>5</v>
      </c>
    </row>
    <row r="19" spans="1:9" x14ac:dyDescent="0.25">
      <c r="A19" t="s">
        <v>47</v>
      </c>
      <c r="B19" s="1" t="s">
        <v>26</v>
      </c>
      <c r="C19" t="s">
        <v>45</v>
      </c>
      <c r="D19">
        <v>5</v>
      </c>
      <c r="E19">
        <v>4</v>
      </c>
      <c r="F19">
        <v>9</v>
      </c>
      <c r="G19">
        <v>0</v>
      </c>
      <c r="H19">
        <f t="shared" si="0"/>
        <v>18</v>
      </c>
      <c r="I19">
        <v>3</v>
      </c>
    </row>
    <row r="20" spans="1:9" x14ac:dyDescent="0.25">
      <c r="A20" t="s">
        <v>47</v>
      </c>
      <c r="B20" s="1" t="s">
        <v>27</v>
      </c>
      <c r="C20" t="s">
        <v>37</v>
      </c>
      <c r="D20">
        <v>2</v>
      </c>
      <c r="E20">
        <v>2</v>
      </c>
      <c r="F20">
        <v>19</v>
      </c>
      <c r="G20">
        <v>1</v>
      </c>
      <c r="H20">
        <f t="shared" si="0"/>
        <v>24</v>
      </c>
      <c r="I20">
        <v>2</v>
      </c>
    </row>
    <row r="21" spans="1:9" x14ac:dyDescent="0.25">
      <c r="A21" t="s">
        <v>47</v>
      </c>
      <c r="B21" s="1" t="s">
        <v>28</v>
      </c>
      <c r="C21" t="s">
        <v>38</v>
      </c>
      <c r="D21">
        <v>9</v>
      </c>
      <c r="E21">
        <v>4</v>
      </c>
      <c r="F21">
        <v>2</v>
      </c>
      <c r="G21">
        <v>6</v>
      </c>
      <c r="H21">
        <f t="shared" si="0"/>
        <v>21</v>
      </c>
      <c r="I2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朱冠宇</dc:creator>
  <cp:lastModifiedBy>朱冠宇</cp:lastModifiedBy>
  <dcterms:created xsi:type="dcterms:W3CDTF">2026-07-16T12:00:27Z</dcterms:created>
  <dcterms:modified xsi:type="dcterms:W3CDTF">2026-07-16T12:10:13Z</dcterms:modified>
</cp:coreProperties>
</file>