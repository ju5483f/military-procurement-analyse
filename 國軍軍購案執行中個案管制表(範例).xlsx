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zhu\Desktop\電腦小組\1150615研析試作區\"/>
    </mc:Choice>
  </mc:AlternateContent>
  <xr:revisionPtr revIDLastSave="0" documentId="13_ncr:1_{AC132AF8-2C61-4CAC-A87B-3EF8740C9369}" xr6:coauthVersionLast="47" xr6:coauthVersionMax="47" xr10:uidLastSave="{00000000-0000-0000-0000-000000000000}"/>
  <bookViews>
    <workbookView xWindow="-135" yWindow="-135" windowWidth="29070" windowHeight="15750" xr2:uid="{A3D9305F-6A72-4EB0-884D-54554B853FC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" l="1"/>
  <c r="J3" i="1"/>
  <c r="J4" i="1"/>
  <c r="J5" i="1"/>
  <c r="J6" i="1"/>
  <c r="J8" i="1"/>
  <c r="J9" i="1"/>
  <c r="J11" i="1"/>
  <c r="J12" i="1"/>
  <c r="J13" i="1"/>
  <c r="J14" i="1"/>
  <c r="J1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J2" i="1"/>
</calcChain>
</file>

<file path=xl/sharedStrings.xml><?xml version="1.0" encoding="utf-8"?>
<sst xmlns="http://schemas.openxmlformats.org/spreadsheetml/2006/main" count="88" uniqueCount="59">
  <si>
    <t>項次</t>
    <phoneticPr fontId="2" type="noConversion"/>
  </si>
  <si>
    <t>案號</t>
    <phoneticPr fontId="2" type="noConversion"/>
  </si>
  <si>
    <t>軍種</t>
    <phoneticPr fontId="2" type="noConversion"/>
  </si>
  <si>
    <t>單位</t>
    <phoneticPr fontId="2" type="noConversion"/>
  </si>
  <si>
    <t>案名</t>
    <phoneticPr fontId="2" type="noConversion"/>
  </si>
  <si>
    <t>類別</t>
    <phoneticPr fontId="2" type="noConversion"/>
  </si>
  <si>
    <t>預算科目</t>
    <phoneticPr fontId="2" type="noConversion"/>
  </si>
  <si>
    <t>發價值(A)
美元</t>
    <phoneticPr fontId="2" type="noConversion"/>
  </si>
  <si>
    <t>累積結匯值(B)
美元</t>
    <phoneticPr fontId="2" type="noConversion"/>
  </si>
  <si>
    <t>累計結匯率
(C)=(B)/(A)</t>
    <phoneticPr fontId="2" type="noConversion"/>
  </si>
  <si>
    <t>累積交運值(D)
美元</t>
    <phoneticPr fontId="2" type="noConversion"/>
  </si>
  <si>
    <t>累計交運率
(E)=(D)/(B)</t>
    <phoneticPr fontId="2" type="noConversion"/>
  </si>
  <si>
    <t>軍購備查帳
(F)=(B)-(D)
美元</t>
    <phoneticPr fontId="2" type="noConversion"/>
  </si>
  <si>
    <t>軍購備查帳
(F)=(B)-(D)
新臺幣元</t>
    <phoneticPr fontId="2" type="noConversion"/>
  </si>
  <si>
    <t>FRB餘額</t>
    <phoneticPr fontId="2" type="noConversion"/>
  </si>
  <si>
    <t>TWBBAA</t>
    <phoneticPr fontId="2" type="noConversion"/>
  </si>
  <si>
    <t>陸軍</t>
    <phoneticPr fontId="2" type="noConversion"/>
  </si>
  <si>
    <t>陸軍主計處</t>
    <phoneticPr fontId="2" type="noConversion"/>
  </si>
  <si>
    <t>戰車延壽案開放式契約</t>
    <phoneticPr fontId="2" type="noConversion"/>
  </si>
  <si>
    <t>軍投</t>
    <phoneticPr fontId="2" type="noConversion"/>
  </si>
  <si>
    <t>TWBBAB</t>
    <phoneticPr fontId="2" type="noConversion"/>
  </si>
  <si>
    <t>戰車延壽案</t>
    <phoneticPr fontId="2" type="noConversion"/>
  </si>
  <si>
    <t>TWBOEA</t>
    <phoneticPr fontId="2" type="noConversion"/>
  </si>
  <si>
    <t>直升機訓練案</t>
    <phoneticPr fontId="2" type="noConversion"/>
  </si>
  <si>
    <t>TWBZAX</t>
    <phoneticPr fontId="2" type="noConversion"/>
  </si>
  <si>
    <t>天鳥專案通資</t>
    <phoneticPr fontId="2" type="noConversion"/>
  </si>
  <si>
    <t>作維</t>
    <phoneticPr fontId="2" type="noConversion"/>
  </si>
  <si>
    <t>TWBZAB</t>
    <phoneticPr fontId="2" type="noConversion"/>
  </si>
  <si>
    <t>獵狐專案</t>
    <phoneticPr fontId="2" type="noConversion"/>
  </si>
  <si>
    <t>TWBZAT</t>
    <phoneticPr fontId="2" type="noConversion"/>
  </si>
  <si>
    <t>瑞杰專案</t>
    <phoneticPr fontId="2" type="noConversion"/>
  </si>
  <si>
    <t>TWPBAK</t>
    <phoneticPr fontId="2" type="noConversion"/>
  </si>
  <si>
    <t>陸勤部</t>
    <phoneticPr fontId="2" type="noConversion"/>
  </si>
  <si>
    <t>發射架</t>
    <phoneticPr fontId="2" type="noConversion"/>
  </si>
  <si>
    <t>TWPALA</t>
    <phoneticPr fontId="2" type="noConversion"/>
  </si>
  <si>
    <t>海軍</t>
    <phoneticPr fontId="2" type="noConversion"/>
  </si>
  <si>
    <t>海軍主計處</t>
    <phoneticPr fontId="2" type="noConversion"/>
  </si>
  <si>
    <t>海用型彈藥</t>
    <phoneticPr fontId="2" type="noConversion"/>
  </si>
  <si>
    <t>TWPGPA</t>
    <phoneticPr fontId="2" type="noConversion"/>
  </si>
  <si>
    <t>救難平台</t>
    <phoneticPr fontId="2" type="noConversion"/>
  </si>
  <si>
    <t>TWPBOA</t>
    <phoneticPr fontId="2" type="noConversion"/>
  </si>
  <si>
    <t>海軍保指部</t>
    <phoneticPr fontId="2" type="noConversion"/>
  </si>
  <si>
    <t>艦艇零附件</t>
    <phoneticPr fontId="2" type="noConversion"/>
  </si>
  <si>
    <t>TWBZDC</t>
    <phoneticPr fontId="2" type="noConversion"/>
  </si>
  <si>
    <t>空軍</t>
    <phoneticPr fontId="2" type="noConversion"/>
  </si>
  <si>
    <t>空軍主計處</t>
    <phoneticPr fontId="2" type="noConversion"/>
  </si>
  <si>
    <t>非凱一號</t>
    <phoneticPr fontId="2" type="noConversion"/>
  </si>
  <si>
    <t>戰機後續訓練</t>
    <phoneticPr fontId="2" type="noConversion"/>
  </si>
  <si>
    <t>TWDNHF</t>
    <phoneticPr fontId="2" type="noConversion"/>
  </si>
  <si>
    <t>TWDSKC</t>
    <phoneticPr fontId="2" type="noConversion"/>
  </si>
  <si>
    <t>神鳥專案</t>
    <phoneticPr fontId="2" type="noConversion"/>
  </si>
  <si>
    <t>特別預算</t>
    <phoneticPr fontId="2" type="noConversion"/>
  </si>
  <si>
    <t>A7111</t>
    <phoneticPr fontId="2" type="noConversion"/>
  </si>
  <si>
    <t>TWBZEW</t>
    <phoneticPr fontId="2" type="noConversion"/>
  </si>
  <si>
    <t>中央</t>
    <phoneticPr fontId="2" type="noConversion"/>
  </si>
  <si>
    <t>整評司</t>
    <phoneticPr fontId="2" type="noConversion"/>
  </si>
  <si>
    <t>作戰模擬模式軟體</t>
    <phoneticPr fontId="2" type="noConversion"/>
  </si>
  <si>
    <t>010215</t>
    <phoneticPr fontId="2" type="noConversion"/>
  </si>
  <si>
    <t>待平衡支付值
美元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</si>
</sst>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0.0000"/>
  </numFmts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76" fontId="0" fillId="0" borderId="1" xfId="1" applyNumberFormat="1" applyFont="1" applyBorder="1">
      <alignment vertical="center"/>
    </xf>
    <xf numFmtId="43" fontId="0" fillId="0" borderId="1" xfId="1" applyNumberFormat="1" applyFont="1" applyBorder="1">
      <alignment vertical="center"/>
    </xf>
    <xf numFmtId="0" fontId="0" fillId="0" borderId="2" xfId="0" applyFill="1" applyBorder="1">
      <alignment vertical="center"/>
    </xf>
    <xf numFmtId="177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3" fontId="0" fillId="0" borderId="1" xfId="1" applyNumberFormat="1" applyFont="1" applyFill="1" applyBorder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165C-5FEB-433E-8E37-8D06574C010F}">
  <dimension ref="A1:P15"/>
  <sheetViews>
    <sheetView tabSelected="1" workbookViewId="0">
      <selection activeCell="H20" sqref="H20"/>
    </sheetView>
  </sheetViews>
  <sheetFormatPr defaultRowHeight="16.5" x14ac:dyDescent="0.25"/>
  <cols>
    <col min="8" max="9" width="17.5" bestFit="1" customWidth="1"/>
    <col min="10" max="10" width="15.5" bestFit="1" customWidth="1"/>
    <col min="11" max="11" width="17.5" bestFit="1" customWidth="1"/>
    <col min="13" max="15" width="15.875" bestFit="1" customWidth="1"/>
  </cols>
  <sheetData>
    <row r="1" spans="1:16" ht="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58</v>
      </c>
    </row>
    <row r="2" spans="1:16" x14ac:dyDescent="0.2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7">
        <v>150104</v>
      </c>
      <c r="H2" s="4">
        <v>44263196</v>
      </c>
      <c r="I2" s="4">
        <v>44263196</v>
      </c>
      <c r="J2" s="6">
        <f>I2/H2</f>
        <v>1</v>
      </c>
      <c r="K2" s="4">
        <v>43920244</v>
      </c>
      <c r="L2" s="6">
        <f>K2/I2</f>
        <v>0.99225198288889938</v>
      </c>
      <c r="M2" s="4">
        <v>342951.2</v>
      </c>
      <c r="N2" s="3">
        <v>10106773</v>
      </c>
      <c r="O2" s="4">
        <v>0</v>
      </c>
      <c r="P2" s="8">
        <v>0</v>
      </c>
    </row>
    <row r="3" spans="1:16" x14ac:dyDescent="0.25">
      <c r="A3" s="1">
        <v>2</v>
      </c>
      <c r="B3" s="1" t="s">
        <v>20</v>
      </c>
      <c r="C3" s="1" t="s">
        <v>16</v>
      </c>
      <c r="D3" s="1" t="s">
        <v>17</v>
      </c>
      <c r="E3" s="1" t="s">
        <v>21</v>
      </c>
      <c r="F3" s="1" t="s">
        <v>19</v>
      </c>
      <c r="G3" s="7">
        <v>150101</v>
      </c>
      <c r="H3" s="4">
        <v>48000000</v>
      </c>
      <c r="I3" s="4">
        <v>41672691</v>
      </c>
      <c r="J3" s="6">
        <f t="shared" ref="J3:J15" si="0">I3/H3</f>
        <v>0.86818106250000004</v>
      </c>
      <c r="K3" s="4">
        <v>40316756.359999999</v>
      </c>
      <c r="L3" s="6">
        <f t="shared" ref="L3:L15" si="1">K3/I3</f>
        <v>0.96746227307470978</v>
      </c>
      <c r="M3" s="4">
        <v>1355934.64</v>
      </c>
      <c r="N3" s="3">
        <v>44210248</v>
      </c>
      <c r="O3" s="4">
        <v>0</v>
      </c>
      <c r="P3" s="8">
        <v>0</v>
      </c>
    </row>
    <row r="4" spans="1:16" x14ac:dyDescent="0.25">
      <c r="A4" s="1">
        <v>4</v>
      </c>
      <c r="B4" s="1" t="s">
        <v>22</v>
      </c>
      <c r="C4" s="1" t="s">
        <v>16</v>
      </c>
      <c r="D4" s="5" t="s">
        <v>17</v>
      </c>
      <c r="E4" s="1" t="s">
        <v>23</v>
      </c>
      <c r="F4" s="1" t="s">
        <v>19</v>
      </c>
      <c r="G4" s="7">
        <v>150104</v>
      </c>
      <c r="H4" s="4">
        <v>45841795</v>
      </c>
      <c r="I4" s="4">
        <v>45841795</v>
      </c>
      <c r="J4" s="6">
        <f t="shared" si="0"/>
        <v>1</v>
      </c>
      <c r="K4" s="4">
        <v>45511302.619999997</v>
      </c>
      <c r="L4" s="6">
        <f t="shared" si="1"/>
        <v>0.9927905881521436</v>
      </c>
      <c r="M4" s="4">
        <v>330492.38</v>
      </c>
      <c r="N4" s="3">
        <v>9658640</v>
      </c>
      <c r="O4" s="4">
        <v>0</v>
      </c>
      <c r="P4" s="8">
        <v>0</v>
      </c>
    </row>
    <row r="5" spans="1:16" x14ac:dyDescent="0.25">
      <c r="A5" s="1">
        <v>8</v>
      </c>
      <c r="B5" s="1" t="s">
        <v>24</v>
      </c>
      <c r="C5" s="1" t="s">
        <v>16</v>
      </c>
      <c r="D5" s="1" t="s">
        <v>17</v>
      </c>
      <c r="E5" s="1" t="s">
        <v>25</v>
      </c>
      <c r="F5" s="1" t="s">
        <v>26</v>
      </c>
      <c r="G5" s="7">
        <v>140118</v>
      </c>
      <c r="H5" s="4">
        <v>15303032</v>
      </c>
      <c r="I5" s="4">
        <v>12382319.84</v>
      </c>
      <c r="J5" s="6">
        <f t="shared" si="0"/>
        <v>0.80914160278825786</v>
      </c>
      <c r="K5" s="4">
        <v>6145939.4299999997</v>
      </c>
      <c r="L5" s="6">
        <f t="shared" si="1"/>
        <v>0.49634797916833651</v>
      </c>
      <c r="M5" s="4">
        <v>6236380.4100000001</v>
      </c>
      <c r="N5" s="3">
        <v>186264134</v>
      </c>
      <c r="O5" s="4">
        <v>1678863.59</v>
      </c>
      <c r="P5" s="8">
        <v>0</v>
      </c>
    </row>
    <row r="6" spans="1:16" x14ac:dyDescent="0.25">
      <c r="A6" s="1">
        <v>9</v>
      </c>
      <c r="B6" s="1" t="s">
        <v>27</v>
      </c>
      <c r="C6" s="1" t="s">
        <v>16</v>
      </c>
      <c r="D6" s="1" t="s">
        <v>17</v>
      </c>
      <c r="E6" s="1" t="s">
        <v>28</v>
      </c>
      <c r="F6" s="1" t="s">
        <v>19</v>
      </c>
      <c r="G6" s="7">
        <v>150104</v>
      </c>
      <c r="H6" s="4">
        <v>377464571</v>
      </c>
      <c r="I6" s="4">
        <v>303913064.00999999</v>
      </c>
      <c r="J6" s="6">
        <f t="shared" si="0"/>
        <v>0.80514328326194085</v>
      </c>
      <c r="K6" s="4">
        <v>49050287.280000001</v>
      </c>
      <c r="L6" s="6">
        <f t="shared" si="1"/>
        <v>0.1613957841522273</v>
      </c>
      <c r="M6" s="4">
        <v>254862776.72999999</v>
      </c>
      <c r="N6" s="3">
        <v>7582640818</v>
      </c>
      <c r="O6" s="4">
        <v>56728761.810000002</v>
      </c>
      <c r="P6" s="8">
        <v>0</v>
      </c>
    </row>
    <row r="7" spans="1:16" x14ac:dyDescent="0.25">
      <c r="A7" s="1">
        <v>10</v>
      </c>
      <c r="B7" s="1" t="s">
        <v>29</v>
      </c>
      <c r="C7" s="1" t="s">
        <v>16</v>
      </c>
      <c r="D7" s="1" t="s">
        <v>17</v>
      </c>
      <c r="E7" s="1" t="s">
        <v>30</v>
      </c>
      <c r="F7" s="1" t="s">
        <v>19</v>
      </c>
      <c r="G7" s="7">
        <v>150104</v>
      </c>
      <c r="H7" s="4">
        <v>1416618990</v>
      </c>
      <c r="I7" s="4">
        <v>1290295745.0699999</v>
      </c>
      <c r="J7" s="6">
        <f t="shared" si="0"/>
        <v>0.91082764962087648</v>
      </c>
      <c r="K7" s="4">
        <v>342085215.30000001</v>
      </c>
      <c r="L7" s="6">
        <f t="shared" si="1"/>
        <v>0.2651215557418129</v>
      </c>
      <c r="M7" s="4">
        <v>948210529.76999998</v>
      </c>
      <c r="N7" s="3">
        <v>29116308640</v>
      </c>
      <c r="O7" s="4">
        <v>323362244.93000001</v>
      </c>
      <c r="P7" s="8">
        <v>0</v>
      </c>
    </row>
    <row r="8" spans="1:16" x14ac:dyDescent="0.25">
      <c r="A8" s="1">
        <v>114</v>
      </c>
      <c r="B8" s="1" t="s">
        <v>31</v>
      </c>
      <c r="C8" s="1" t="s">
        <v>16</v>
      </c>
      <c r="D8" s="1" t="s">
        <v>32</v>
      </c>
      <c r="E8" s="1" t="s">
        <v>33</v>
      </c>
      <c r="F8" s="1" t="s">
        <v>26</v>
      </c>
      <c r="G8" s="7">
        <v>140118</v>
      </c>
      <c r="H8" s="4">
        <v>1258775</v>
      </c>
      <c r="I8" s="4">
        <v>911036.74</v>
      </c>
      <c r="J8" s="6">
        <f t="shared" si="0"/>
        <v>0.72374867629242712</v>
      </c>
      <c r="K8" s="4">
        <v>673763.98</v>
      </c>
      <c r="L8" s="6">
        <f t="shared" si="1"/>
        <v>0.73955741894668259</v>
      </c>
      <c r="M8" s="4">
        <v>237272.76</v>
      </c>
      <c r="N8" s="3">
        <v>7134791</v>
      </c>
      <c r="O8" s="4">
        <v>28427.78</v>
      </c>
      <c r="P8" s="8">
        <v>0</v>
      </c>
    </row>
    <row r="9" spans="1:16" x14ac:dyDescent="0.25">
      <c r="A9" s="1">
        <v>156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19</v>
      </c>
      <c r="G9" s="7">
        <v>150104</v>
      </c>
      <c r="H9" s="4">
        <v>99396987</v>
      </c>
      <c r="I9" s="4">
        <v>39039906.719999999</v>
      </c>
      <c r="J9" s="6">
        <f t="shared" si="0"/>
        <v>0.39276750632290292</v>
      </c>
      <c r="K9" s="4">
        <v>10632183.779999999</v>
      </c>
      <c r="L9" s="6">
        <f t="shared" si="1"/>
        <v>0.27234142377069698</v>
      </c>
      <c r="M9" s="4">
        <v>28407721.940000001</v>
      </c>
      <c r="N9" s="3">
        <v>897791973</v>
      </c>
      <c r="O9" s="4">
        <v>23724199.530000001</v>
      </c>
      <c r="P9" s="8">
        <v>0</v>
      </c>
    </row>
    <row r="10" spans="1:16" x14ac:dyDescent="0.25">
      <c r="A10" s="1">
        <v>160</v>
      </c>
      <c r="B10" s="1" t="s">
        <v>38</v>
      </c>
      <c r="C10" s="1" t="s">
        <v>35</v>
      </c>
      <c r="D10" s="1" t="s">
        <v>36</v>
      </c>
      <c r="E10" s="1" t="s">
        <v>39</v>
      </c>
      <c r="F10" s="1" t="s">
        <v>26</v>
      </c>
      <c r="G10" s="7">
        <v>120115</v>
      </c>
      <c r="H10" s="4">
        <v>634457</v>
      </c>
      <c r="I10" s="4">
        <v>634457</v>
      </c>
      <c r="J10" s="6">
        <v>0</v>
      </c>
      <c r="K10" s="4">
        <v>59603.68</v>
      </c>
      <c r="L10" s="6">
        <f t="shared" si="1"/>
        <v>9.3944396546968512E-2</v>
      </c>
      <c r="M10" s="4">
        <v>574853.31999999995</v>
      </c>
      <c r="N10" s="3">
        <v>17177310</v>
      </c>
      <c r="O10" s="4">
        <v>14457</v>
      </c>
      <c r="P10" s="8">
        <v>0</v>
      </c>
    </row>
    <row r="11" spans="1:16" x14ac:dyDescent="0.25">
      <c r="A11" s="1">
        <v>177</v>
      </c>
      <c r="B11" s="1" t="s">
        <v>40</v>
      </c>
      <c r="C11" s="1" t="s">
        <v>35</v>
      </c>
      <c r="D11" s="1" t="s">
        <v>41</v>
      </c>
      <c r="E11" s="1" t="s">
        <v>42</v>
      </c>
      <c r="F11" s="1" t="s">
        <v>26</v>
      </c>
      <c r="G11" s="7">
        <v>140118</v>
      </c>
      <c r="H11" s="4">
        <v>49000000</v>
      </c>
      <c r="I11" s="4">
        <v>2000000</v>
      </c>
      <c r="J11" s="6">
        <f t="shared" si="0"/>
        <v>4.0816326530612242E-2</v>
      </c>
      <c r="K11" s="4">
        <v>0</v>
      </c>
      <c r="L11" s="6">
        <f t="shared" si="1"/>
        <v>0</v>
      </c>
      <c r="M11" s="4">
        <v>2000000</v>
      </c>
      <c r="N11" s="3">
        <v>62302000</v>
      </c>
      <c r="O11" s="4">
        <v>2000000</v>
      </c>
      <c r="P11" s="8">
        <v>0</v>
      </c>
    </row>
    <row r="12" spans="1:16" x14ac:dyDescent="0.25">
      <c r="A12" s="1">
        <v>232</v>
      </c>
      <c r="B12" s="1" t="s">
        <v>43</v>
      </c>
      <c r="C12" s="1" t="s">
        <v>44</v>
      </c>
      <c r="D12" s="1" t="s">
        <v>45</v>
      </c>
      <c r="E12" s="1" t="s">
        <v>46</v>
      </c>
      <c r="F12" s="1" t="s">
        <v>19</v>
      </c>
      <c r="G12" s="7">
        <v>150104</v>
      </c>
      <c r="H12" s="4">
        <v>882562000</v>
      </c>
      <c r="I12" s="4">
        <v>357068931.48000002</v>
      </c>
      <c r="J12" s="6">
        <f t="shared" si="0"/>
        <v>0.40458226331974412</v>
      </c>
      <c r="K12" s="4">
        <v>5557158.9000000004</v>
      </c>
      <c r="L12" s="6">
        <f t="shared" si="1"/>
        <v>1.5563266389395364E-2</v>
      </c>
      <c r="M12" s="4">
        <v>351511772.57999998</v>
      </c>
      <c r="N12" s="3">
        <v>10348496552</v>
      </c>
      <c r="O12" s="4">
        <v>127507317.2</v>
      </c>
      <c r="P12" s="8">
        <v>0</v>
      </c>
    </row>
    <row r="13" spans="1:16" x14ac:dyDescent="0.25">
      <c r="A13" s="1">
        <v>237</v>
      </c>
      <c r="B13" s="1" t="s">
        <v>48</v>
      </c>
      <c r="C13" s="1" t="s">
        <v>44</v>
      </c>
      <c r="D13" s="1" t="s">
        <v>45</v>
      </c>
      <c r="E13" s="1" t="s">
        <v>47</v>
      </c>
      <c r="F13" s="1" t="s">
        <v>26</v>
      </c>
      <c r="G13" s="7">
        <v>120115</v>
      </c>
      <c r="H13" s="4">
        <v>238434232</v>
      </c>
      <c r="I13" s="4">
        <v>238434232</v>
      </c>
      <c r="J13" s="6">
        <f t="shared" si="0"/>
        <v>1</v>
      </c>
      <c r="K13" s="4">
        <v>237693847.65000001</v>
      </c>
      <c r="L13" s="6">
        <f t="shared" si="1"/>
        <v>0.99689480682455034</v>
      </c>
      <c r="M13" s="4">
        <v>740384.35</v>
      </c>
      <c r="N13" s="3">
        <v>22185617</v>
      </c>
      <c r="O13" s="4">
        <v>0</v>
      </c>
      <c r="P13" s="8">
        <v>0</v>
      </c>
    </row>
    <row r="14" spans="1:16" x14ac:dyDescent="0.25">
      <c r="A14" s="1">
        <v>244</v>
      </c>
      <c r="B14" s="1" t="s">
        <v>49</v>
      </c>
      <c r="C14" s="1" t="s">
        <v>44</v>
      </c>
      <c r="D14" s="1" t="s">
        <v>45</v>
      </c>
      <c r="E14" s="1" t="s">
        <v>50</v>
      </c>
      <c r="F14" s="1" t="s">
        <v>51</v>
      </c>
      <c r="G14" s="7" t="s">
        <v>52</v>
      </c>
      <c r="H14" s="4">
        <v>4900815982</v>
      </c>
      <c r="I14" s="4">
        <v>4900815918.8000002</v>
      </c>
      <c r="J14" s="6">
        <f t="shared" si="0"/>
        <v>0.99999998710418836</v>
      </c>
      <c r="K14" s="4">
        <v>4834734118.7700005</v>
      </c>
      <c r="L14" s="6">
        <f t="shared" si="1"/>
        <v>0.98651616360930772</v>
      </c>
      <c r="M14" s="4">
        <v>66081863.030000001</v>
      </c>
      <c r="N14" s="3">
        <v>2092083645</v>
      </c>
      <c r="O14" s="4">
        <v>0</v>
      </c>
      <c r="P14" s="8">
        <v>0</v>
      </c>
    </row>
    <row r="15" spans="1:16" x14ac:dyDescent="0.25">
      <c r="A15" s="1">
        <v>429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26</v>
      </c>
      <c r="G15" s="7" t="s">
        <v>57</v>
      </c>
      <c r="H15" s="4">
        <v>526238</v>
      </c>
      <c r="I15" s="4">
        <v>98023</v>
      </c>
      <c r="J15" s="6">
        <f t="shared" si="0"/>
        <v>0.18627123088792524</v>
      </c>
      <c r="K15" s="4">
        <v>0</v>
      </c>
      <c r="L15" s="6">
        <f t="shared" si="1"/>
        <v>0</v>
      </c>
      <c r="M15" s="4">
        <v>98023</v>
      </c>
      <c r="N15" s="3">
        <v>3019765</v>
      </c>
      <c r="O15" s="4">
        <v>98023</v>
      </c>
      <c r="P15" s="8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朱冠宇</dc:creator>
  <cp:lastModifiedBy>朱冠宇</cp:lastModifiedBy>
  <cp:lastPrinted>2026-07-10T04:53:07Z</cp:lastPrinted>
  <dcterms:created xsi:type="dcterms:W3CDTF">2026-06-16T05:46:43Z</dcterms:created>
  <dcterms:modified xsi:type="dcterms:W3CDTF">2026-07-10T05:01:33Z</dcterms:modified>
</cp:coreProperties>
</file>